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0B11AF4F-F48A-4DEA-8EA6-9482E97E9228}" xr6:coauthVersionLast="47" xr6:coauthVersionMax="47" xr10:uidLastSave="{00000000-0000-0000-0000-000000000000}"/>
  <bookViews>
    <workbookView xWindow="-108" yWindow="-108" windowWidth="23256" windowHeight="13176" xr2:uid="{0298AE1F-357D-4C06-BD75-DEDB4918312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  <c r="F3" i="2"/>
  <c r="F4" i="2"/>
  <c r="F5" i="2"/>
  <c r="F6" i="2"/>
  <c r="F7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  <c r="E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A8" i="3"/>
  <c r="A9" i="3" s="1"/>
  <c r="A10" i="2"/>
  <c r="A11" i="2" s="1"/>
  <c r="A9" i="2"/>
  <c r="A8" i="2"/>
  <c r="A9" i="1"/>
  <c r="A10" i="1"/>
  <c r="A11" i="1"/>
  <c r="A12" i="1"/>
  <c r="A13" i="1"/>
  <c r="A14" i="1"/>
  <c r="A15" i="1"/>
  <c r="A8" i="1"/>
  <c r="A10" i="3" l="1"/>
  <c r="A12" i="2"/>
  <c r="A11" i="3" l="1"/>
  <c r="A13" i="2"/>
  <c r="A12" i="3" l="1"/>
  <c r="A14" i="2"/>
  <c r="A13" i="3" l="1"/>
  <c r="A15" i="2"/>
  <c r="A14" i="3" l="1"/>
  <c r="A15" i="3" l="1"/>
</calcChain>
</file>

<file path=xl/sharedStrings.xml><?xml version="1.0" encoding="utf-8"?>
<sst xmlns="http://schemas.openxmlformats.org/spreadsheetml/2006/main" count="15" uniqueCount="5">
  <si>
    <t>M_a</t>
  </si>
  <si>
    <t xml:space="preserve">% change in density </t>
  </si>
  <si>
    <t>% change in velocity</t>
  </si>
  <si>
    <t xml:space="preserve"> change in density </t>
  </si>
  <si>
    <t xml:space="preserve"> change in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</si>
</sst>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1-46A2-8CD4-3785F891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419535"/>
        <c:axId val="657000559"/>
      </c:scatterChart>
      <c:valAx>
        <c:axId val="70541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0559"/>
        <c:crosses val="autoZero"/>
        <c:crossBetween val="midCat"/>
      </c:valAx>
      <c:valAx>
        <c:axId val="65700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1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% change in 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1000000</c:v>
                </c:pt>
                <c:pt idx="1">
                  <c:v>10000</c:v>
                </c:pt>
                <c:pt idx="2">
                  <c:v>2500</c:v>
                </c:pt>
                <c:pt idx="3">
                  <c:v>399.99999999999994</c:v>
                </c:pt>
                <c:pt idx="4">
                  <c:v>99.999999999999986</c:v>
                </c:pt>
                <c:pt idx="5">
                  <c:v>24.999999999999996</c:v>
                </c:pt>
                <c:pt idx="6">
                  <c:v>11.111111111111109</c:v>
                </c:pt>
                <c:pt idx="7">
                  <c:v>6.2499999999999991</c:v>
                </c:pt>
                <c:pt idx="8">
                  <c:v>4</c:v>
                </c:pt>
                <c:pt idx="9">
                  <c:v>2.7777777777777777</c:v>
                </c:pt>
                <c:pt idx="10">
                  <c:v>2.0408163265306127</c:v>
                </c:pt>
                <c:pt idx="11">
                  <c:v>1.5625000000000002</c:v>
                </c:pt>
                <c:pt idx="12">
                  <c:v>1.2345679012345681</c:v>
                </c:pt>
                <c:pt idx="13">
                  <c:v>1.0000000000000002</c:v>
                </c:pt>
                <c:pt idx="14">
                  <c:v>0.69444444444444442</c:v>
                </c:pt>
                <c:pt idx="15">
                  <c:v>0.44444444444444442</c:v>
                </c:pt>
                <c:pt idx="16">
                  <c:v>0.25</c:v>
                </c:pt>
                <c:pt idx="17">
                  <c:v>0.16</c:v>
                </c:pt>
                <c:pt idx="18">
                  <c:v>0.1111111111111111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A-4E59-B8B7-CD602D82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25871"/>
        <c:axId val="656999599"/>
      </c:scatterChart>
      <c:valAx>
        <c:axId val="67012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9599"/>
        <c:crosses val="autoZero"/>
        <c:crossBetween val="midCat"/>
      </c:valAx>
      <c:valAx>
        <c:axId val="6569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2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Sheet2!$B$2:$B$20</c:f>
              <c:numCache>
                <c:formatCode>General</c:formatCode>
                <c:ptCount val="19"/>
                <c:pt idx="0">
                  <c:v>-9.9999999999999995E-7</c:v>
                </c:pt>
                <c:pt idx="1">
                  <c:v>-1.0000000000000002E-4</c:v>
                </c:pt>
                <c:pt idx="2">
                  <c:v>-4.0000000000000007E-4</c:v>
                </c:pt>
                <c:pt idx="3">
                  <c:v>-2.5000000000000005E-3</c:v>
                </c:pt>
                <c:pt idx="4">
                  <c:v>-1.0000000000000002E-2</c:v>
                </c:pt>
                <c:pt idx="5">
                  <c:v>-4.0000000000000008E-2</c:v>
                </c:pt>
                <c:pt idx="6">
                  <c:v>-9.0000000000000024E-2</c:v>
                </c:pt>
                <c:pt idx="7">
                  <c:v>-0.16000000000000003</c:v>
                </c:pt>
                <c:pt idx="8">
                  <c:v>-0.25</c:v>
                </c:pt>
                <c:pt idx="9">
                  <c:v>-0.36</c:v>
                </c:pt>
                <c:pt idx="10">
                  <c:v>-0.49</c:v>
                </c:pt>
                <c:pt idx="11">
                  <c:v>-0.6399999999999999</c:v>
                </c:pt>
                <c:pt idx="12">
                  <c:v>-0.80999999999999983</c:v>
                </c:pt>
                <c:pt idx="13">
                  <c:v>-0.99999999999999989</c:v>
                </c:pt>
                <c:pt idx="14">
                  <c:v>-1.44</c:v>
                </c:pt>
                <c:pt idx="15">
                  <c:v>-2.25</c:v>
                </c:pt>
                <c:pt idx="16">
                  <c:v>-4</c:v>
                </c:pt>
                <c:pt idx="17">
                  <c:v>-6.25</c:v>
                </c:pt>
                <c:pt idx="18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F-40A6-96B9-9854855C3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34751"/>
        <c:axId val="656987599"/>
      </c:scatterChart>
      <c:valAx>
        <c:axId val="71633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87599"/>
        <c:crosses val="autoZero"/>
        <c:crossBetween val="midCat"/>
      </c:valAx>
      <c:valAx>
        <c:axId val="6569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3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 change in 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Sheet2!$C$2:$C$20</c:f>
              <c:numCache>
                <c:formatCode>General</c:formatCode>
                <c:ptCount val="19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6-43BB-B79C-983D63ED6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42911"/>
        <c:axId val="657023119"/>
      </c:scatterChart>
      <c:valAx>
        <c:axId val="71004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23119"/>
        <c:crosses val="autoZero"/>
        <c:crossBetween val="midCat"/>
      </c:valAx>
      <c:valAx>
        <c:axId val="6570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4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change in density (M&gt;=1)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Sheet2!$E$2:$E$7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Sheet2!$F$2:$F$7</c:f>
              <c:numCache>
                <c:formatCode>General</c:formatCode>
                <c:ptCount val="6"/>
                <c:pt idx="0">
                  <c:v>-1</c:v>
                </c:pt>
                <c:pt idx="1">
                  <c:v>-1.44</c:v>
                </c:pt>
                <c:pt idx="2">
                  <c:v>-2.25</c:v>
                </c:pt>
                <c:pt idx="3">
                  <c:v>-4</c:v>
                </c:pt>
                <c:pt idx="4">
                  <c:v>-6.25</c:v>
                </c:pt>
                <c:pt idx="5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3-43DC-B761-9CAEB7B5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09119"/>
        <c:axId val="656999119"/>
      </c:scatterChart>
      <c:valAx>
        <c:axId val="66870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9119"/>
        <c:crosses val="autoZero"/>
        <c:crossBetween val="midCat"/>
      </c:valAx>
      <c:valAx>
        <c:axId val="65699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0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 change in density (M&lt;1)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Sheet2!$A$2:$A$14</c:f>
              <c:numCache>
                <c:formatCode>General</c:formatCode>
                <c:ptCount val="13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</c:numCache>
            </c:numRef>
          </c:xVal>
          <c:yVal>
            <c:numRef>
              <c:f>Sheet2!$B$2:$B$14</c:f>
              <c:numCache>
                <c:formatCode>General</c:formatCode>
                <c:ptCount val="13"/>
                <c:pt idx="0">
                  <c:v>-9.9999999999999995E-7</c:v>
                </c:pt>
                <c:pt idx="1">
                  <c:v>-1.0000000000000002E-4</c:v>
                </c:pt>
                <c:pt idx="2">
                  <c:v>-4.0000000000000007E-4</c:v>
                </c:pt>
                <c:pt idx="3">
                  <c:v>-2.5000000000000005E-3</c:v>
                </c:pt>
                <c:pt idx="4">
                  <c:v>-1.0000000000000002E-2</c:v>
                </c:pt>
                <c:pt idx="5">
                  <c:v>-4.0000000000000008E-2</c:v>
                </c:pt>
                <c:pt idx="6">
                  <c:v>-9.0000000000000024E-2</c:v>
                </c:pt>
                <c:pt idx="7">
                  <c:v>-0.16000000000000003</c:v>
                </c:pt>
                <c:pt idx="8">
                  <c:v>-0.25</c:v>
                </c:pt>
                <c:pt idx="9">
                  <c:v>-0.36</c:v>
                </c:pt>
                <c:pt idx="10">
                  <c:v>-0.49</c:v>
                </c:pt>
                <c:pt idx="11">
                  <c:v>-0.6399999999999999</c:v>
                </c:pt>
                <c:pt idx="12">
                  <c:v>-0.80999999999999983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6-4868-98FE-398EA43B5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418607"/>
        <c:axId val="480328207"/>
      </c:scatterChart>
      <c:valAx>
        <c:axId val="70541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28207"/>
        <c:crosses val="autoZero"/>
        <c:crossBetween val="midCat"/>
      </c:valAx>
      <c:valAx>
        <c:axId val="4803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Sheet3!$B$2:$B$20</c:f>
              <c:numCache>
                <c:formatCode>General</c:formatCode>
                <c:ptCount val="19"/>
                <c:pt idx="0">
                  <c:v>-5.9999999999999993E-6</c:v>
                </c:pt>
                <c:pt idx="1">
                  <c:v>-6.0000000000000006E-4</c:v>
                </c:pt>
                <c:pt idx="2">
                  <c:v>-2.4000000000000002E-3</c:v>
                </c:pt>
                <c:pt idx="3">
                  <c:v>-1.5000000000000001E-2</c:v>
                </c:pt>
                <c:pt idx="4">
                  <c:v>-6.0000000000000005E-2</c:v>
                </c:pt>
                <c:pt idx="5">
                  <c:v>-0.24000000000000002</c:v>
                </c:pt>
                <c:pt idx="6">
                  <c:v>-0.54000000000000015</c:v>
                </c:pt>
                <c:pt idx="7">
                  <c:v>-0.96000000000000008</c:v>
                </c:pt>
                <c:pt idx="8">
                  <c:v>-1.5</c:v>
                </c:pt>
                <c:pt idx="9">
                  <c:v>-2.1599999999999997</c:v>
                </c:pt>
                <c:pt idx="10">
                  <c:v>-2.9399999999999995</c:v>
                </c:pt>
                <c:pt idx="11">
                  <c:v>-3.839999999999999</c:v>
                </c:pt>
                <c:pt idx="12">
                  <c:v>-4.8599999999999994</c:v>
                </c:pt>
                <c:pt idx="13">
                  <c:v>-5.9999999999999982</c:v>
                </c:pt>
                <c:pt idx="14">
                  <c:v>-8.6399999999999988</c:v>
                </c:pt>
                <c:pt idx="15">
                  <c:v>-13.5</c:v>
                </c:pt>
                <c:pt idx="16">
                  <c:v>-24</c:v>
                </c:pt>
                <c:pt idx="17">
                  <c:v>-37.5</c:v>
                </c:pt>
                <c:pt idx="18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6-4A7C-9342-496D2104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17471"/>
        <c:axId val="656971279"/>
      </c:scatterChart>
      <c:valAx>
        <c:axId val="66871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71279"/>
        <c:crosses val="autoZero"/>
        <c:crossBetween val="midCat"/>
      </c:valAx>
      <c:valAx>
        <c:axId val="65697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1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 change in 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  <c:pt idx="13">
                  <c:v>0.99999999999999989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Sheet3!$C$2:$C$20</c:f>
              <c:numCache>
                <c:formatCode>General</c:formatCode>
                <c:ptCount val="19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B-4443-9ECD-D36D993A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37343"/>
        <c:axId val="656968879"/>
      </c:scatterChart>
      <c:valAx>
        <c:axId val="71003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68879"/>
        <c:crosses val="autoZero"/>
        <c:crossBetween val="midCat"/>
      </c:valAx>
      <c:valAx>
        <c:axId val="65696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3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 change in density (M&gt;=1)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Sheet3!$E$2:$E$7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Sheet3!$F$2:$F$7</c:f>
              <c:numCache>
                <c:formatCode>General</c:formatCode>
                <c:ptCount val="6"/>
                <c:pt idx="0">
                  <c:v>-6</c:v>
                </c:pt>
                <c:pt idx="1">
                  <c:v>-8.6399999999999988</c:v>
                </c:pt>
                <c:pt idx="2">
                  <c:v>-13.5</c:v>
                </c:pt>
                <c:pt idx="3">
                  <c:v>-24</c:v>
                </c:pt>
                <c:pt idx="4">
                  <c:v>-37.5</c:v>
                </c:pt>
                <c:pt idx="5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C-4ACC-A465-765D8BB54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19839"/>
        <c:axId val="656977519"/>
      </c:scatterChart>
      <c:valAx>
        <c:axId val="67011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77519"/>
        <c:crosses val="autoZero"/>
        <c:crossBetween val="midCat"/>
      </c:valAx>
      <c:valAx>
        <c:axId val="65697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1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 change in density (M&lt;1)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% change in density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Sheet3!$A$2:$A$14</c:f>
              <c:numCache>
                <c:formatCode>General</c:formatCode>
                <c:ptCount val="13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0.30000000000000004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0.79999999999999993</c:v>
                </c:pt>
                <c:pt idx="12">
                  <c:v>0.89999999999999991</c:v>
                </c:pt>
              </c:numCache>
            </c:numRef>
          </c:xVal>
          <c:yVal>
            <c:numRef>
              <c:f>Sheet3!$B$2:$B$14</c:f>
              <c:numCache>
                <c:formatCode>General</c:formatCode>
                <c:ptCount val="13"/>
                <c:pt idx="0">
                  <c:v>-5.9999999999999993E-6</c:v>
                </c:pt>
                <c:pt idx="1">
                  <c:v>-6.0000000000000006E-4</c:v>
                </c:pt>
                <c:pt idx="2">
                  <c:v>-2.4000000000000002E-3</c:v>
                </c:pt>
                <c:pt idx="3">
                  <c:v>-1.5000000000000001E-2</c:v>
                </c:pt>
                <c:pt idx="4">
                  <c:v>-6.0000000000000005E-2</c:v>
                </c:pt>
                <c:pt idx="5">
                  <c:v>-0.24000000000000002</c:v>
                </c:pt>
                <c:pt idx="6">
                  <c:v>-0.54000000000000015</c:v>
                </c:pt>
                <c:pt idx="7">
                  <c:v>-0.96000000000000008</c:v>
                </c:pt>
                <c:pt idx="8">
                  <c:v>-1.5</c:v>
                </c:pt>
                <c:pt idx="9">
                  <c:v>-2.1599999999999997</c:v>
                </c:pt>
                <c:pt idx="10">
                  <c:v>-2.9399999999999995</c:v>
                </c:pt>
                <c:pt idx="11">
                  <c:v>-3.839999999999999</c:v>
                </c:pt>
                <c:pt idx="12">
                  <c:v>-4.8599999999999994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B-4EA3-8D27-5425E889F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143055"/>
        <c:axId val="656984239"/>
      </c:scatterChart>
      <c:valAx>
        <c:axId val="62914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84239"/>
        <c:crosses val="autoZero"/>
        <c:crossBetween val="midCat"/>
      </c:valAx>
      <c:valAx>
        <c:axId val="6569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4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3</xdr:row>
      <xdr:rowOff>72390</xdr:rowOff>
    </xdr:from>
    <xdr:to>
      <xdr:col>12</xdr:col>
      <xdr:colOff>350520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7BE22-A8D2-4A84-AA44-2E151C598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83820</xdr:colOff>
      <xdr:row>3</xdr:row>
      <xdr:rowOff>106680</xdr:rowOff>
    </xdr:from>
    <xdr:to>
      <xdr:col>20</xdr:col>
      <xdr:colOff>228600</xdr:colOff>
      <xdr:row>23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A58047-AAA5-45C8-EA4A-A434EB648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520065</xdr:colOff>
      <xdr:row>4</xdr:row>
      <xdr:rowOff>108585</xdr:rowOff>
    </xdr:from>
    <xdr:to>
      <xdr:col>14</xdr:col>
      <xdr:colOff>215265</xdr:colOff>
      <xdr:row>19</xdr:row>
      <xdr:rowOff>108585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44278-9A7C-18D7-D30F-A836F3AE1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541020</xdr:colOff>
      <xdr:row>2</xdr:row>
      <xdr:rowOff>53340</xdr:rowOff>
    </xdr:from>
    <xdr:to>
      <xdr:col>21</xdr:col>
      <xdr:colOff>236220</xdr:colOff>
      <xdr:row>17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9BF10-51FB-7579-B15E-8B112F4BE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312420</xdr:colOff>
      <xdr:row>17</xdr:row>
      <xdr:rowOff>152400</xdr:rowOff>
    </xdr:from>
    <xdr:to>
      <xdr:col>22</xdr:col>
      <xdr:colOff>7620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F40739-2AA8-8434-0601-C51FAC87E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438150</xdr:colOff>
      <xdr:row>20</xdr:row>
      <xdr:rowOff>85725</xdr:rowOff>
    </xdr:from>
    <xdr:to>
      <xdr:col>13</xdr:col>
      <xdr:colOff>133350</xdr:colOff>
      <xdr:row>35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9CC875-F33C-B275-D2F8-559326C56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543197</xdr:colOff>
      <xdr:row>9</xdr:row>
      <xdr:rowOff>85452</xdr:rowOff>
    </xdr:from>
    <xdr:to>
      <xdr:col>11</xdr:col>
      <xdr:colOff>235676</xdr:colOff>
      <xdr:row>24</xdr:row>
      <xdr:rowOff>85452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EC4B8-C64A-BEB9-2764-E88B9D01B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</xdr:row>
      <xdr:rowOff>68580</xdr:rowOff>
    </xdr:from>
    <xdr:to>
      <xdr:col>19</xdr:col>
      <xdr:colOff>121920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82BBD-0310-657C-DFEA-944C81E2D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419373</xdr:colOff>
      <xdr:row>13</xdr:row>
      <xdr:rowOff>128724</xdr:rowOff>
    </xdr:from>
    <xdr:to>
      <xdr:col>27</xdr:col>
      <xdr:colOff>114572</xdr:colOff>
      <xdr:row>28</xdr:row>
      <xdr:rowOff>128724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72CC0-0237-D485-ADA8-4E2C3F8A2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347255</xdr:colOff>
      <xdr:row>19</xdr:row>
      <xdr:rowOff>51162</xdr:rowOff>
    </xdr:from>
    <xdr:to>
      <xdr:col>19</xdr:col>
      <xdr:colOff>42454</xdr:colOff>
      <xdr:row>34</xdr:row>
      <xdr:rowOff>51163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BD22BB-F233-9E6E-0757-1ED998847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F5BC-5A32-4E3C-933C-F27BF6CED907}">
  <dimension ref="A1:C20"/>
  <sheetViews>
    <sheetView tabSelected="1" workbookViewId="0">
      <selection activeCell="C2" sqref="C2"/>
    </sheetView>
  </sheetViews>
  <sheetFormatPr defaultRowHeight="14.4" x14ac:dyDescent="0.3"/>
  <cols>
    <col min="2" max="2" width="17.44140625" bestFit="1" customWidth="1"/>
    <col min="3" max="3" width="17.21875" bestFit="1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1E-3</v>
      </c>
      <c r="B2">
        <v>-0.01</v>
      </c>
      <c r="C2">
        <f>(-B2*100)/(((A2)^2))</f>
        <v>1000000</v>
      </c>
    </row>
    <row r="3" spans="1:3" x14ac:dyDescent="0.3">
      <c r="A3">
        <v>0.01</v>
      </c>
      <c r="B3">
        <v>-0.01</v>
      </c>
      <c r="C3">
        <f t="shared" ref="C3:C20" si="0">(-B3*100)/(((A3)^2))</f>
        <v>10000</v>
      </c>
    </row>
    <row r="4" spans="1:3" x14ac:dyDescent="0.3">
      <c r="A4">
        <v>0.02</v>
      </c>
      <c r="B4">
        <v>-0.01</v>
      </c>
      <c r="C4">
        <f t="shared" si="0"/>
        <v>2500</v>
      </c>
    </row>
    <row r="5" spans="1:3" x14ac:dyDescent="0.3">
      <c r="A5">
        <v>0.05</v>
      </c>
      <c r="B5">
        <v>-0.01</v>
      </c>
      <c r="C5">
        <f t="shared" si="0"/>
        <v>399.99999999999994</v>
      </c>
    </row>
    <row r="6" spans="1:3" x14ac:dyDescent="0.3">
      <c r="A6">
        <v>0.1</v>
      </c>
      <c r="B6">
        <v>-0.01</v>
      </c>
      <c r="C6">
        <f t="shared" si="0"/>
        <v>99.999999999999986</v>
      </c>
    </row>
    <row r="7" spans="1:3" x14ac:dyDescent="0.3">
      <c r="A7">
        <v>0.2</v>
      </c>
      <c r="B7">
        <v>-0.01</v>
      </c>
      <c r="C7">
        <f t="shared" si="0"/>
        <v>24.999999999999996</v>
      </c>
    </row>
    <row r="8" spans="1:3" x14ac:dyDescent="0.3">
      <c r="A8">
        <f>A7+0.1</f>
        <v>0.30000000000000004</v>
      </c>
      <c r="B8">
        <v>-0.01</v>
      </c>
      <c r="C8">
        <f t="shared" si="0"/>
        <v>11.111111111111109</v>
      </c>
    </row>
    <row r="9" spans="1:3" x14ac:dyDescent="0.3">
      <c r="A9">
        <f t="shared" ref="A9:A20" si="1">A8+0.1</f>
        <v>0.4</v>
      </c>
      <c r="B9">
        <v>-0.01</v>
      </c>
      <c r="C9">
        <f t="shared" si="0"/>
        <v>6.2499999999999991</v>
      </c>
    </row>
    <row r="10" spans="1:3" x14ac:dyDescent="0.3">
      <c r="A10">
        <f t="shared" si="1"/>
        <v>0.5</v>
      </c>
      <c r="B10">
        <v>-0.01</v>
      </c>
      <c r="C10">
        <f t="shared" si="0"/>
        <v>4</v>
      </c>
    </row>
    <row r="11" spans="1:3" x14ac:dyDescent="0.3">
      <c r="A11">
        <f t="shared" si="1"/>
        <v>0.6</v>
      </c>
      <c r="B11">
        <v>-0.01</v>
      </c>
      <c r="C11">
        <f t="shared" si="0"/>
        <v>2.7777777777777777</v>
      </c>
    </row>
    <row r="12" spans="1:3" x14ac:dyDescent="0.3">
      <c r="A12">
        <f t="shared" si="1"/>
        <v>0.7</v>
      </c>
      <c r="B12">
        <v>-0.01</v>
      </c>
      <c r="C12">
        <f t="shared" si="0"/>
        <v>2.0408163265306127</v>
      </c>
    </row>
    <row r="13" spans="1:3" x14ac:dyDescent="0.3">
      <c r="A13">
        <f t="shared" si="1"/>
        <v>0.79999999999999993</v>
      </c>
      <c r="B13">
        <v>-0.01</v>
      </c>
      <c r="C13">
        <f t="shared" si="0"/>
        <v>1.5625000000000002</v>
      </c>
    </row>
    <row r="14" spans="1:3" x14ac:dyDescent="0.3">
      <c r="A14">
        <f t="shared" si="1"/>
        <v>0.89999999999999991</v>
      </c>
      <c r="B14">
        <v>-0.01</v>
      </c>
      <c r="C14">
        <f t="shared" si="0"/>
        <v>1.2345679012345681</v>
      </c>
    </row>
    <row r="15" spans="1:3" x14ac:dyDescent="0.3">
      <c r="A15">
        <f t="shared" si="1"/>
        <v>0.99999999999999989</v>
      </c>
      <c r="B15">
        <v>-0.01</v>
      </c>
      <c r="C15">
        <f t="shared" si="0"/>
        <v>1.0000000000000002</v>
      </c>
    </row>
    <row r="16" spans="1:3" x14ac:dyDescent="0.3">
      <c r="A16">
        <v>1.2</v>
      </c>
      <c r="B16">
        <v>-0.01</v>
      </c>
      <c r="C16">
        <f t="shared" si="0"/>
        <v>0.69444444444444442</v>
      </c>
    </row>
    <row r="17" spans="1:3" x14ac:dyDescent="0.3">
      <c r="A17">
        <v>1.5</v>
      </c>
      <c r="B17">
        <v>-0.01</v>
      </c>
      <c r="C17">
        <f t="shared" si="0"/>
        <v>0.44444444444444442</v>
      </c>
    </row>
    <row r="18" spans="1:3" x14ac:dyDescent="0.3">
      <c r="A18">
        <v>2</v>
      </c>
      <c r="B18">
        <v>-0.01</v>
      </c>
      <c r="C18">
        <f t="shared" si="0"/>
        <v>0.25</v>
      </c>
    </row>
    <row r="19" spans="1:3" x14ac:dyDescent="0.3">
      <c r="A19">
        <v>2.5</v>
      </c>
      <c r="B19">
        <v>-0.01</v>
      </c>
      <c r="C19">
        <f t="shared" si="0"/>
        <v>0.16</v>
      </c>
    </row>
    <row r="20" spans="1:3" x14ac:dyDescent="0.3">
      <c r="A20">
        <v>3</v>
      </c>
      <c r="B20">
        <v>-0.01</v>
      </c>
      <c r="C20">
        <f t="shared" si="0"/>
        <v>0.1111111111111111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3B2A-A586-4FF2-9DF0-C62C6A27839A}">
  <dimension ref="A1:G20"/>
  <sheetViews>
    <sheetView zoomScale="75" workbookViewId="0">
      <selection activeCell="F2" sqref="F2:F7"/>
    </sheetView>
  </sheetViews>
  <sheetFormatPr defaultRowHeight="14.4" x14ac:dyDescent="0.3"/>
  <cols>
    <col min="2" max="2" width="17.44140625" bestFit="1" customWidth="1"/>
    <col min="3" max="3" width="17.5546875" bestFit="1" customWidth="1"/>
  </cols>
  <sheetData>
    <row r="1" spans="1:7" x14ac:dyDescent="0.3">
      <c r="A1" t="s">
        <v>0</v>
      </c>
      <c r="B1" t="s">
        <v>1</v>
      </c>
      <c r="C1" t="s">
        <v>4</v>
      </c>
      <c r="E1" t="s">
        <v>0</v>
      </c>
      <c r="F1" t="s">
        <v>1</v>
      </c>
      <c r="G1" t="s">
        <v>4</v>
      </c>
    </row>
    <row r="2" spans="1:7" x14ac:dyDescent="0.3">
      <c r="A2">
        <v>1E-3</v>
      </c>
      <c r="B2">
        <f>-A2*A2*C2*100</f>
        <v>-9.9999999999999995E-7</v>
      </c>
      <c r="C2">
        <v>0.01</v>
      </c>
      <c r="E2">
        <f>1</f>
        <v>1</v>
      </c>
      <c r="F2">
        <f>-E2*E2*G2*100</f>
        <v>-1</v>
      </c>
      <c r="G2">
        <v>0.01</v>
      </c>
    </row>
    <row r="3" spans="1:7" x14ac:dyDescent="0.3">
      <c r="A3">
        <v>0.01</v>
      </c>
      <c r="B3">
        <f t="shared" ref="B3:B20" si="0">-A3*A3*C3*100</f>
        <v>-1.0000000000000002E-4</v>
      </c>
      <c r="C3">
        <v>0.01</v>
      </c>
      <c r="E3">
        <v>1.2</v>
      </c>
      <c r="F3">
        <f t="shared" ref="F3:F7" si="1">-E3*E3*G3*100</f>
        <v>-1.44</v>
      </c>
      <c r="G3">
        <v>0.01</v>
      </c>
    </row>
    <row r="4" spans="1:7" x14ac:dyDescent="0.3">
      <c r="A4">
        <v>0.02</v>
      </c>
      <c r="B4">
        <f t="shared" si="0"/>
        <v>-4.0000000000000007E-4</v>
      </c>
      <c r="C4">
        <v>0.01</v>
      </c>
      <c r="E4">
        <v>1.5</v>
      </c>
      <c r="F4">
        <f t="shared" si="1"/>
        <v>-2.25</v>
      </c>
      <c r="G4">
        <v>0.01</v>
      </c>
    </row>
    <row r="5" spans="1:7" x14ac:dyDescent="0.3">
      <c r="A5">
        <v>0.05</v>
      </c>
      <c r="B5">
        <f t="shared" si="0"/>
        <v>-2.5000000000000005E-3</v>
      </c>
      <c r="C5">
        <v>0.01</v>
      </c>
      <c r="E5">
        <v>2</v>
      </c>
      <c r="F5">
        <f t="shared" si="1"/>
        <v>-4</v>
      </c>
      <c r="G5">
        <v>0.01</v>
      </c>
    </row>
    <row r="6" spans="1:7" x14ac:dyDescent="0.3">
      <c r="A6">
        <v>0.1</v>
      </c>
      <c r="B6">
        <f t="shared" si="0"/>
        <v>-1.0000000000000002E-2</v>
      </c>
      <c r="C6">
        <v>0.01</v>
      </c>
      <c r="E6">
        <v>2.5</v>
      </c>
      <c r="F6">
        <f t="shared" si="1"/>
        <v>-6.25</v>
      </c>
      <c r="G6">
        <v>0.01</v>
      </c>
    </row>
    <row r="7" spans="1:7" x14ac:dyDescent="0.3">
      <c r="A7">
        <v>0.2</v>
      </c>
      <c r="B7">
        <f t="shared" si="0"/>
        <v>-4.0000000000000008E-2</v>
      </c>
      <c r="C7">
        <v>0.01</v>
      </c>
      <c r="E7">
        <v>3</v>
      </c>
      <c r="F7">
        <f t="shared" si="1"/>
        <v>-9</v>
      </c>
      <c r="G7">
        <v>0.01</v>
      </c>
    </row>
    <row r="8" spans="1:7" x14ac:dyDescent="0.3">
      <c r="A8">
        <f>A7+0.1</f>
        <v>0.30000000000000004</v>
      </c>
      <c r="B8">
        <f t="shared" si="0"/>
        <v>-9.0000000000000024E-2</v>
      </c>
      <c r="C8">
        <v>0.01</v>
      </c>
    </row>
    <row r="9" spans="1:7" x14ac:dyDescent="0.3">
      <c r="A9">
        <f t="shared" ref="A9:A20" si="2">A8+0.1</f>
        <v>0.4</v>
      </c>
      <c r="B9">
        <f t="shared" si="0"/>
        <v>-0.16000000000000003</v>
      </c>
      <c r="C9">
        <v>0.01</v>
      </c>
    </row>
    <row r="10" spans="1:7" x14ac:dyDescent="0.3">
      <c r="A10">
        <f t="shared" si="2"/>
        <v>0.5</v>
      </c>
      <c r="B10">
        <f t="shared" si="0"/>
        <v>-0.25</v>
      </c>
      <c r="C10">
        <v>0.01</v>
      </c>
    </row>
    <row r="11" spans="1:7" x14ac:dyDescent="0.3">
      <c r="A11">
        <f t="shared" si="2"/>
        <v>0.6</v>
      </c>
      <c r="B11">
        <f t="shared" si="0"/>
        <v>-0.36</v>
      </c>
      <c r="C11">
        <v>0.01</v>
      </c>
    </row>
    <row r="12" spans="1:7" x14ac:dyDescent="0.3">
      <c r="A12">
        <f t="shared" si="2"/>
        <v>0.7</v>
      </c>
      <c r="B12">
        <f t="shared" si="0"/>
        <v>-0.49</v>
      </c>
      <c r="C12">
        <v>0.01</v>
      </c>
    </row>
    <row r="13" spans="1:7" x14ac:dyDescent="0.3">
      <c r="A13">
        <f t="shared" si="2"/>
        <v>0.79999999999999993</v>
      </c>
      <c r="B13">
        <f t="shared" si="0"/>
        <v>-0.6399999999999999</v>
      </c>
      <c r="C13">
        <v>0.01</v>
      </c>
    </row>
    <row r="14" spans="1:7" x14ac:dyDescent="0.3">
      <c r="A14">
        <f t="shared" si="2"/>
        <v>0.89999999999999991</v>
      </c>
      <c r="B14">
        <f t="shared" si="0"/>
        <v>-0.80999999999999983</v>
      </c>
      <c r="C14">
        <v>0.01</v>
      </c>
    </row>
    <row r="15" spans="1:7" x14ac:dyDescent="0.3">
      <c r="A15">
        <f t="shared" si="2"/>
        <v>0.99999999999999989</v>
      </c>
      <c r="B15">
        <f t="shared" si="0"/>
        <v>-0.99999999999999989</v>
      </c>
      <c r="C15">
        <v>0.01</v>
      </c>
    </row>
    <row r="16" spans="1:7" x14ac:dyDescent="0.3">
      <c r="A16">
        <v>1.2</v>
      </c>
      <c r="B16">
        <f t="shared" si="0"/>
        <v>-1.44</v>
      </c>
      <c r="C16">
        <v>0.01</v>
      </c>
    </row>
    <row r="17" spans="1:3" x14ac:dyDescent="0.3">
      <c r="A17">
        <v>1.5</v>
      </c>
      <c r="B17">
        <f t="shared" si="0"/>
        <v>-2.25</v>
      </c>
      <c r="C17">
        <v>0.01</v>
      </c>
    </row>
    <row r="18" spans="1:3" x14ac:dyDescent="0.3">
      <c r="A18">
        <v>2</v>
      </c>
      <c r="B18">
        <f t="shared" si="0"/>
        <v>-4</v>
      </c>
      <c r="C18">
        <v>0.01</v>
      </c>
    </row>
    <row r="19" spans="1:3" x14ac:dyDescent="0.3">
      <c r="A19">
        <v>2.5</v>
      </c>
      <c r="B19">
        <f t="shared" si="0"/>
        <v>-6.25</v>
      </c>
      <c r="C19">
        <v>0.01</v>
      </c>
    </row>
    <row r="20" spans="1:3" x14ac:dyDescent="0.3">
      <c r="A20">
        <v>3</v>
      </c>
      <c r="B20">
        <f t="shared" si="0"/>
        <v>-9</v>
      </c>
      <c r="C20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EBE6-3A9F-4CE1-832B-FE1DDE9850F7}">
  <dimension ref="A1:G20"/>
  <sheetViews>
    <sheetView topLeftCell="E1" zoomScale="80" workbookViewId="0">
      <selection activeCell="F2" sqref="F2:F7"/>
    </sheetView>
  </sheetViews>
  <sheetFormatPr defaultRowHeight="14.4" x14ac:dyDescent="0.3"/>
  <cols>
    <col min="2" max="2" width="17.44140625" bestFit="1" customWidth="1"/>
    <col min="3" max="3" width="17.5546875" bestFit="1" customWidth="1"/>
  </cols>
  <sheetData>
    <row r="1" spans="1:7" x14ac:dyDescent="0.3">
      <c r="A1" t="s">
        <v>0</v>
      </c>
      <c r="B1" t="s">
        <v>1</v>
      </c>
      <c r="C1" t="s">
        <v>4</v>
      </c>
      <c r="E1" t="s">
        <v>0</v>
      </c>
      <c r="F1" t="s">
        <v>1</v>
      </c>
      <c r="G1" t="s">
        <v>4</v>
      </c>
    </row>
    <row r="2" spans="1:7" x14ac:dyDescent="0.3">
      <c r="A2">
        <v>1E-3</v>
      </c>
      <c r="B2">
        <f>-A2*A2*C2*100</f>
        <v>-5.9999999999999993E-6</v>
      </c>
      <c r="C2">
        <v>0.06</v>
      </c>
      <c r="E2">
        <v>1</v>
      </c>
      <c r="F2">
        <f>-E2*E2*G2*100</f>
        <v>-6</v>
      </c>
      <c r="G2">
        <v>0.06</v>
      </c>
    </row>
    <row r="3" spans="1:7" x14ac:dyDescent="0.3">
      <c r="A3">
        <v>0.01</v>
      </c>
      <c r="B3">
        <f t="shared" ref="B3:B20" si="0">-A3*A3*C3*100</f>
        <v>-6.0000000000000006E-4</v>
      </c>
      <c r="C3">
        <v>0.06</v>
      </c>
      <c r="E3">
        <v>1.2</v>
      </c>
      <c r="F3">
        <f t="shared" ref="F3:F7" si="1">-E3*E3*G3*100</f>
        <v>-8.6399999999999988</v>
      </c>
      <c r="G3">
        <v>0.06</v>
      </c>
    </row>
    <row r="4" spans="1:7" x14ac:dyDescent="0.3">
      <c r="A4">
        <v>0.02</v>
      </c>
      <c r="B4">
        <f t="shared" si="0"/>
        <v>-2.4000000000000002E-3</v>
      </c>
      <c r="C4">
        <v>0.06</v>
      </c>
      <c r="E4">
        <v>1.5</v>
      </c>
      <c r="F4">
        <f t="shared" si="1"/>
        <v>-13.5</v>
      </c>
      <c r="G4">
        <v>0.06</v>
      </c>
    </row>
    <row r="5" spans="1:7" x14ac:dyDescent="0.3">
      <c r="A5">
        <v>0.05</v>
      </c>
      <c r="B5">
        <f t="shared" si="0"/>
        <v>-1.5000000000000001E-2</v>
      </c>
      <c r="C5">
        <v>0.06</v>
      </c>
      <c r="E5">
        <v>2</v>
      </c>
      <c r="F5">
        <f t="shared" si="1"/>
        <v>-24</v>
      </c>
      <c r="G5">
        <v>0.06</v>
      </c>
    </row>
    <row r="6" spans="1:7" x14ac:dyDescent="0.3">
      <c r="A6">
        <v>0.1</v>
      </c>
      <c r="B6">
        <f t="shared" si="0"/>
        <v>-6.0000000000000005E-2</v>
      </c>
      <c r="C6">
        <v>0.06</v>
      </c>
      <c r="E6">
        <v>2.5</v>
      </c>
      <c r="F6">
        <f t="shared" si="1"/>
        <v>-37.5</v>
      </c>
      <c r="G6">
        <v>0.06</v>
      </c>
    </row>
    <row r="7" spans="1:7" x14ac:dyDescent="0.3">
      <c r="A7">
        <v>0.2</v>
      </c>
      <c r="B7">
        <f t="shared" si="0"/>
        <v>-0.24000000000000002</v>
      </c>
      <c r="C7">
        <v>0.06</v>
      </c>
      <c r="E7">
        <v>3</v>
      </c>
      <c r="F7">
        <f t="shared" si="1"/>
        <v>-54</v>
      </c>
      <c r="G7">
        <v>0.06</v>
      </c>
    </row>
    <row r="8" spans="1:7" x14ac:dyDescent="0.3">
      <c r="A8">
        <f>A7+0.1</f>
        <v>0.30000000000000004</v>
      </c>
      <c r="B8">
        <f t="shared" si="0"/>
        <v>-0.54000000000000015</v>
      </c>
      <c r="C8">
        <v>0.06</v>
      </c>
    </row>
    <row r="9" spans="1:7" x14ac:dyDescent="0.3">
      <c r="A9">
        <f t="shared" ref="A9:A20" si="2">A8+0.1</f>
        <v>0.4</v>
      </c>
      <c r="B9">
        <f t="shared" si="0"/>
        <v>-0.96000000000000008</v>
      </c>
      <c r="C9">
        <v>0.06</v>
      </c>
    </row>
    <row r="10" spans="1:7" x14ac:dyDescent="0.3">
      <c r="A10">
        <f t="shared" si="2"/>
        <v>0.5</v>
      </c>
      <c r="B10">
        <f t="shared" si="0"/>
        <v>-1.5</v>
      </c>
      <c r="C10">
        <v>0.06</v>
      </c>
    </row>
    <row r="11" spans="1:7" x14ac:dyDescent="0.3">
      <c r="A11">
        <f t="shared" si="2"/>
        <v>0.6</v>
      </c>
      <c r="B11">
        <f t="shared" si="0"/>
        <v>-2.1599999999999997</v>
      </c>
      <c r="C11">
        <v>0.06</v>
      </c>
    </row>
    <row r="12" spans="1:7" x14ac:dyDescent="0.3">
      <c r="A12">
        <f t="shared" si="2"/>
        <v>0.7</v>
      </c>
      <c r="B12">
        <f t="shared" si="0"/>
        <v>-2.9399999999999995</v>
      </c>
      <c r="C12">
        <v>0.06</v>
      </c>
    </row>
    <row r="13" spans="1:7" x14ac:dyDescent="0.3">
      <c r="A13">
        <f t="shared" si="2"/>
        <v>0.79999999999999993</v>
      </c>
      <c r="B13">
        <f t="shared" si="0"/>
        <v>-3.839999999999999</v>
      </c>
      <c r="C13">
        <v>0.06</v>
      </c>
    </row>
    <row r="14" spans="1:7" x14ac:dyDescent="0.3">
      <c r="A14">
        <f t="shared" si="2"/>
        <v>0.89999999999999991</v>
      </c>
      <c r="B14">
        <f t="shared" si="0"/>
        <v>-4.8599999999999994</v>
      </c>
      <c r="C14">
        <v>0.06</v>
      </c>
    </row>
    <row r="15" spans="1:7" x14ac:dyDescent="0.3">
      <c r="A15">
        <f t="shared" si="2"/>
        <v>0.99999999999999989</v>
      </c>
      <c r="B15">
        <f t="shared" si="0"/>
        <v>-5.9999999999999982</v>
      </c>
      <c r="C15">
        <v>0.06</v>
      </c>
    </row>
    <row r="16" spans="1:7" x14ac:dyDescent="0.3">
      <c r="A16">
        <v>1.2</v>
      </c>
      <c r="B16">
        <f t="shared" si="0"/>
        <v>-8.6399999999999988</v>
      </c>
      <c r="C16">
        <v>0.06</v>
      </c>
    </row>
    <row r="17" spans="1:3" x14ac:dyDescent="0.3">
      <c r="A17">
        <v>1.5</v>
      </c>
      <c r="B17">
        <f t="shared" si="0"/>
        <v>-13.5</v>
      </c>
      <c r="C17">
        <v>0.06</v>
      </c>
    </row>
    <row r="18" spans="1:3" x14ac:dyDescent="0.3">
      <c r="A18">
        <v>2</v>
      </c>
      <c r="B18">
        <f t="shared" si="0"/>
        <v>-24</v>
      </c>
      <c r="C18">
        <v>0.06</v>
      </c>
    </row>
    <row r="19" spans="1:3" x14ac:dyDescent="0.3">
      <c r="A19">
        <v>2.5</v>
      </c>
      <c r="B19">
        <f t="shared" si="0"/>
        <v>-37.5</v>
      </c>
      <c r="C19">
        <v>0.06</v>
      </c>
    </row>
    <row r="20" spans="1:3" x14ac:dyDescent="0.3">
      <c r="A20">
        <v>3</v>
      </c>
      <c r="B20">
        <f t="shared" si="0"/>
        <v>-54</v>
      </c>
      <c r="C20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Aanantha Krishnan</dc:creator>
  <cp:lastModifiedBy>N Aanantha Krishnan</cp:lastModifiedBy>
  <dcterms:created xsi:type="dcterms:W3CDTF">2026-08-04T06:32:53Z</dcterms:created>
  <dcterms:modified xsi:type="dcterms:W3CDTF">2026-08-04T08:09:45Z</dcterms:modified>
</cp:coreProperties>
</file>